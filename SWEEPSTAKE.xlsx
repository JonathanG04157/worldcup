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<sst xmlns="http://schemas.openxmlformats.org/spreadsheetml/2006/main" count="75" uniqueCount="75">
  <si>
    <t>Name</t>
  </si>
  <si>
    <t>Team 1</t>
  </si>
  <si>
    <t>Team 2</t>
  </si>
  <si>
    <t>Team 3</t>
  </si>
  <si>
    <t>Team 4</t>
  </si>
  <si>
    <t>Avg Team Ranking</t>
  </si>
  <si>
    <t>Top 12 Ranking</t>
  </si>
  <si>
    <t>Prize</t>
  </si>
  <si>
    <t>Amount</t>
  </si>
  <si>
    <t>Archie</t>
  </si>
  <si>
    <t>Spain (2)</t>
  </si>
  <si>
    <t>Mexico (13)</t>
  </si>
  <si>
    <t>Egypt (26)</t>
  </si>
  <si>
    <t>Ghana (45)</t>
  </si>
  <si>
    <t>Winner</t>
  </si>
  <si>
    <t>Ben</t>
  </si>
  <si>
    <t>Argentina (1)</t>
  </si>
  <si>
    <t>Senegal (14)</t>
  </si>
  <si>
    <t>Algeria (25)</t>
  </si>
  <si>
    <t>Uzbekistan (37)</t>
  </si>
  <si>
    <t>Runner-up</t>
  </si>
  <si>
    <t>Dan</t>
  </si>
  <si>
    <t>Netherlands (8)</t>
  </si>
  <si>
    <t>Australia (24)</t>
  </si>
  <si>
    <t>DR Congo (36)</t>
  </si>
  <si>
    <t>Qatar (38)</t>
  </si>
  <si>
    <t>Chud Cup Winner (top finisher from Teams 3 &amp; 4)</t>
  </si>
  <si>
    <t>Hywel</t>
  </si>
  <si>
    <t>Croatia (11)</t>
  </si>
  <si>
    <t>Austria (22)</t>
  </si>
  <si>
    <t>Czechia (32)</t>
  </si>
  <si>
    <t>Iraq (39)</t>
  </si>
  <si>
    <t>Jon Glanfield's Favourite Match (winner of)</t>
  </si>
  <si>
    <t>Jon</t>
  </si>
  <si>
    <t>England (4)</t>
  </si>
  <si>
    <t>Switzerland (18)</t>
  </si>
  <si>
    <t>Canada (27)</t>
  </si>
  <si>
    <t>Cabo Verde (44)</t>
  </si>
  <si>
    <t>Most Creative Team Slop Poster (Sloppon D'or)</t>
  </si>
  <si>
    <t>Krish</t>
  </si>
  <si>
    <t>France (3)</t>
  </si>
  <si>
    <t>Iran (19)</t>
  </si>
  <si>
    <t>Panama (30)</t>
  </si>
  <si>
    <t>Saudi Arabia (41)</t>
  </si>
  <si>
    <t>Dead Last</t>
  </si>
  <si>
    <t xml:space="preserve">Lucca </t>
  </si>
  <si>
    <t>Germany (10)</t>
  </si>
  <si>
    <t>Türkiye (20)</t>
  </si>
  <si>
    <t>Norway  (28)</t>
  </si>
  <si>
    <t>South Africa (40)</t>
  </si>
  <si>
    <t>Toby</t>
  </si>
  <si>
    <t>Morocco (7)</t>
  </si>
  <si>
    <t>Japan (17)</t>
  </si>
  <si>
    <t>Cote D'ivoire (29)</t>
  </si>
  <si>
    <t>New Zealand (48)</t>
  </si>
  <si>
    <t>Will H</t>
  </si>
  <si>
    <t>Portugal (5)</t>
  </si>
  <si>
    <t>USA (16)</t>
  </si>
  <si>
    <t>Sweden (31)</t>
  </si>
  <si>
    <t>Curaçao (46)</t>
  </si>
  <si>
    <t>Will P</t>
  </si>
  <si>
    <t>Columbia (12)</t>
  </si>
  <si>
    <t>Uruguay (15)</t>
  </si>
  <si>
    <t>Paraguay (33)</t>
  </si>
  <si>
    <t>Haiti (47)</t>
  </si>
  <si>
    <t>Will S</t>
  </si>
  <si>
    <t>Brazil (6)</t>
  </si>
  <si>
    <t>South Korea (23)</t>
  </si>
  <si>
    <t>Scotland (34)</t>
  </si>
  <si>
    <t>Jordan (42)</t>
  </si>
  <si>
    <t>Will T</t>
  </si>
  <si>
    <t>Belgium (9)</t>
  </si>
  <si>
    <t>Ecuador (21)</t>
  </si>
  <si>
    <t>Tunisia (35)</t>
  </si>
  <si>
    <t>Bosnia &amp; Herzegovina (43)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</si>
</sst>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u/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 wrapText="1"/>
    </xf>
    <xf xfId="0" numFmtId="4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4"/>
  <sheetViews>
    <sheetView workbookViewId="0" tabSelected="1"/>
  </sheetViews>
  <sheetFormatPr defaultRowHeight="15" x14ac:dyDescent="0.25"/>
  <cols>
    <col min="1" max="1" style="15" width="9.147857142857141" customWidth="1" bestFit="1"/>
    <col min="2" max="2" style="16" width="12.719285714285713" customWidth="1" bestFit="1"/>
    <col min="3" max="3" style="16" width="22.719285714285714" customWidth="1" bestFit="1"/>
    <col min="4" max="4" style="16" width="22.719285714285714" customWidth="1" bestFit="1"/>
    <col min="5" max="5" style="16" width="22.719285714285714" customWidth="1" bestFit="1"/>
    <col min="6" max="6" style="16" width="22.719285714285714" customWidth="1" bestFit="1"/>
    <col min="7" max="7" style="17" width="20.719285714285714" customWidth="1" bestFit="1"/>
    <col min="8" max="8" style="17" width="20.719285714285714" customWidth="1" bestFit="1"/>
    <col min="9" max="9" style="15" width="9.147857142857141" customWidth="1" bestFit="1"/>
    <col min="10" max="10" style="15" width="48.57642857142857" customWidth="1" bestFit="1"/>
    <col min="11" max="11" style="18" width="13.576428571428572" customWidth="1" bestFit="1"/>
  </cols>
  <sheetData>
    <row x14ac:dyDescent="0.25" r="1" customHeight="1" ht="18.75">
      <c r="A1" s="1"/>
      <c r="B1" s="2"/>
      <c r="C1" s="2"/>
      <c r="D1" s="2"/>
      <c r="E1" s="2"/>
      <c r="F1" s="2"/>
      <c r="G1" s="3"/>
      <c r="H1" s="3"/>
      <c r="I1" s="1"/>
      <c r="J1" s="1"/>
      <c r="K1" s="4"/>
    </row>
    <row x14ac:dyDescent="0.25" r="2" customHeight="1" ht="18.75">
      <c r="A2" s="1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6" t="s">
        <v>6</v>
      </c>
      <c r="I2" s="1"/>
      <c r="J2" s="7" t="s">
        <v>7</v>
      </c>
      <c r="K2" s="8" t="s">
        <v>8</v>
      </c>
    </row>
    <row x14ac:dyDescent="0.25" r="3" customHeight="1" ht="18.75">
      <c r="A3" s="1"/>
      <c r="B3" s="9" t="s">
        <v>9</v>
      </c>
      <c r="C3" s="10" t="s">
        <v>10</v>
      </c>
      <c r="D3" s="10" t="s">
        <v>11</v>
      </c>
      <c r="E3" s="10" t="s">
        <v>12</v>
      </c>
      <c r="F3" s="10" t="s">
        <v>13</v>
      </c>
      <c r="G3" s="11">
        <f>(2+13+45+26)/4</f>
      </c>
      <c r="H3" s="12">
        <v>2</v>
      </c>
      <c r="I3" s="1"/>
      <c r="J3" s="13" t="s">
        <v>14</v>
      </c>
      <c r="K3" s="14">
        <v>13</v>
      </c>
    </row>
    <row x14ac:dyDescent="0.25" r="4" customHeight="1" ht="18.75">
      <c r="A4" s="1"/>
      <c r="B4" s="9" t="s">
        <v>15</v>
      </c>
      <c r="C4" s="10" t="s">
        <v>16</v>
      </c>
      <c r="D4" s="10" t="s">
        <v>17</v>
      </c>
      <c r="E4" s="10" t="s">
        <v>18</v>
      </c>
      <c r="F4" s="10" t="s">
        <v>19</v>
      </c>
      <c r="G4" s="11">
        <f>(1+14+25+37)/4</f>
      </c>
      <c r="H4" s="12">
        <v>1</v>
      </c>
      <c r="I4" s="1"/>
      <c r="J4" s="13" t="s">
        <v>20</v>
      </c>
      <c r="K4" s="14">
        <v>4</v>
      </c>
    </row>
    <row x14ac:dyDescent="0.25" r="5" customHeight="1" ht="18.75">
      <c r="A5" s="1"/>
      <c r="B5" s="9" t="s">
        <v>21</v>
      </c>
      <c r="C5" s="10" t="s">
        <v>22</v>
      </c>
      <c r="D5" s="10" t="s">
        <v>23</v>
      </c>
      <c r="E5" s="10" t="s">
        <v>24</v>
      </c>
      <c r="F5" s="10" t="s">
        <v>25</v>
      </c>
      <c r="G5" s="11">
        <f>(8+24+36+38)/4</f>
      </c>
      <c r="H5" s="12">
        <v>8</v>
      </c>
      <c r="I5" s="1"/>
      <c r="J5" s="13" t="s">
        <v>26</v>
      </c>
      <c r="K5" s="14">
        <v>3</v>
      </c>
    </row>
    <row x14ac:dyDescent="0.25" r="6" customHeight="1" ht="18.75">
      <c r="A6" s="1"/>
      <c r="B6" s="9" t="s">
        <v>27</v>
      </c>
      <c r="C6" s="10" t="s">
        <v>28</v>
      </c>
      <c r="D6" s="10" t="s">
        <v>29</v>
      </c>
      <c r="E6" s="10" t="s">
        <v>30</v>
      </c>
      <c r="F6" s="10" t="s">
        <v>31</v>
      </c>
      <c r="G6" s="12">
        <f>(11+22+32+39)/4</f>
      </c>
      <c r="H6" s="12">
        <v>11</v>
      </c>
      <c r="I6" s="1"/>
      <c r="J6" s="10" t="s">
        <v>32</v>
      </c>
      <c r="K6" s="12">
        <v>2</v>
      </c>
    </row>
    <row x14ac:dyDescent="0.25" r="7" customHeight="1" ht="18.75">
      <c r="A7" s="1"/>
      <c r="B7" s="9" t="s">
        <v>33</v>
      </c>
      <c r="C7" s="10" t="s">
        <v>34</v>
      </c>
      <c r="D7" s="10" t="s">
        <v>35</v>
      </c>
      <c r="E7" s="10" t="s">
        <v>36</v>
      </c>
      <c r="F7" s="10" t="s">
        <v>37</v>
      </c>
      <c r="G7" s="11">
        <f>(4+18+27+44)/4</f>
      </c>
      <c r="H7" s="12">
        <v>4</v>
      </c>
      <c r="I7" s="1"/>
      <c r="J7" s="10" t="s">
        <v>38</v>
      </c>
      <c r="K7" s="11">
        <v>1.99</v>
      </c>
    </row>
    <row x14ac:dyDescent="0.25" r="8" customHeight="1" ht="19.5">
      <c r="A8" s="1"/>
      <c r="B8" s="9" t="s">
        <v>39</v>
      </c>
      <c r="C8" s="10" t="s">
        <v>40</v>
      </c>
      <c r="D8" s="10" t="s">
        <v>41</v>
      </c>
      <c r="E8" s="10" t="s">
        <v>42</v>
      </c>
      <c r="F8" s="10" t="s">
        <v>43</v>
      </c>
      <c r="G8" s="11">
        <f>(3+19+30+41)/4</f>
      </c>
      <c r="H8" s="12">
        <v>3</v>
      </c>
      <c r="I8" s="1"/>
      <c r="J8" s="10" t="s">
        <v>44</v>
      </c>
      <c r="K8" s="11">
        <v>0.01</v>
      </c>
    </row>
    <row x14ac:dyDescent="0.25" r="9" customHeight="1" ht="18.75">
      <c r="A9" s="1"/>
      <c r="B9" s="9" t="s">
        <v>45</v>
      </c>
      <c r="C9" s="10" t="s">
        <v>46</v>
      </c>
      <c r="D9" s="10" t="s">
        <v>47</v>
      </c>
      <c r="E9" s="10" t="s">
        <v>48</v>
      </c>
      <c r="F9" s="10" t="s">
        <v>49</v>
      </c>
      <c r="G9" s="11">
        <f>(10+20+28+40)/4</f>
      </c>
      <c r="H9" s="12">
        <v>10</v>
      </c>
      <c r="I9" s="1"/>
      <c r="J9" s="1"/>
      <c r="K9" s="4"/>
    </row>
    <row x14ac:dyDescent="0.25" r="10" customHeight="1" ht="18.75">
      <c r="A10" s="1"/>
      <c r="B10" s="9" t="s">
        <v>50</v>
      </c>
      <c r="C10" s="10" t="s">
        <v>51</v>
      </c>
      <c r="D10" s="10" t="s">
        <v>52</v>
      </c>
      <c r="E10" s="10" t="s">
        <v>53</v>
      </c>
      <c r="F10" s="10" t="s">
        <v>54</v>
      </c>
      <c r="G10" s="11">
        <f>(7+17+29+48)/4</f>
      </c>
      <c r="H10" s="12">
        <v>7</v>
      </c>
      <c r="I10" s="1"/>
      <c r="J10" s="1"/>
      <c r="K10" s="4"/>
    </row>
    <row x14ac:dyDescent="0.25" r="11" customHeight="1" ht="18.75">
      <c r="A11" s="1"/>
      <c r="B11" s="9" t="s">
        <v>55</v>
      </c>
      <c r="C11" s="10" t="s">
        <v>56</v>
      </c>
      <c r="D11" s="10" t="s">
        <v>57</v>
      </c>
      <c r="E11" s="10" t="s">
        <v>58</v>
      </c>
      <c r="F11" s="10" t="s">
        <v>59</v>
      </c>
      <c r="G11" s="11">
        <f>(5+16+31+46)/4</f>
      </c>
      <c r="H11" s="12">
        <v>5</v>
      </c>
      <c r="I11" s="1"/>
      <c r="J11" s="1"/>
      <c r="K11" s="4"/>
    </row>
    <row x14ac:dyDescent="0.25" r="12" customHeight="1" ht="18.75">
      <c r="A12" s="1"/>
      <c r="B12" s="9" t="s">
        <v>60</v>
      </c>
      <c r="C12" s="10" t="s">
        <v>61</v>
      </c>
      <c r="D12" s="10" t="s">
        <v>62</v>
      </c>
      <c r="E12" s="10" t="s">
        <v>63</v>
      </c>
      <c r="F12" s="10" t="s">
        <v>64</v>
      </c>
      <c r="G12" s="11">
        <f>(12+15+33+47)/4</f>
      </c>
      <c r="H12" s="12">
        <v>12</v>
      </c>
      <c r="I12" s="1"/>
      <c r="J12" s="1"/>
      <c r="K12" s="4"/>
    </row>
    <row x14ac:dyDescent="0.25" r="13" customHeight="1" ht="18.75">
      <c r="A13" s="1"/>
      <c r="B13" s="9" t="s">
        <v>65</v>
      </c>
      <c r="C13" s="10" t="s">
        <v>66</v>
      </c>
      <c r="D13" s="10" t="s">
        <v>67</v>
      </c>
      <c r="E13" s="10" t="s">
        <v>68</v>
      </c>
      <c r="F13" s="10" t="s">
        <v>69</v>
      </c>
      <c r="G13" s="11">
        <f>(6+23+34+42)/4</f>
      </c>
      <c r="H13" s="12">
        <v>6</v>
      </c>
      <c r="I13" s="1"/>
      <c r="J13" s="1"/>
      <c r="K13" s="4"/>
    </row>
    <row x14ac:dyDescent="0.25" r="14" customHeight="1" ht="19.5">
      <c r="A14" s="1"/>
      <c r="B14" s="9" t="s">
        <v>70</v>
      </c>
      <c r="C14" s="10" t="s">
        <v>71</v>
      </c>
      <c r="D14" s="10" t="s">
        <v>72</v>
      </c>
      <c r="E14" s="10" t="s">
        <v>73</v>
      </c>
      <c r="F14" s="10" t="s">
        <v>74</v>
      </c>
      <c r="G14" s="12">
        <f>(9+21+35+43)/4</f>
      </c>
      <c r="H14" s="12">
        <v>9</v>
      </c>
      <c r="I14" s="1"/>
      <c r="J14" s="1"/>
      <c r="K14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2026-06-11T14:02:14.305Z</dcterms:created>
  <dcterms:modified xsi:type="dcterms:W3CDTF">2026-06-11T14:02:14.305Z</dcterms:modified>
</cp:coreProperties>
</file>